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in Tumor Segmentation\"/>
    </mc:Choice>
  </mc:AlternateContent>
  <xr:revisionPtr revIDLastSave="0" documentId="13_ncr:1_{CB94F01F-A353-43DF-8957-9AAFFCD0E0F9}" xr6:coauthVersionLast="47" xr6:coauthVersionMax="47" xr10:uidLastSave="{00000000-0000-0000-0000-000000000000}"/>
  <bookViews>
    <workbookView xWindow="7200" yWindow="45" windowWidth="21600" windowHeight="11295" xr2:uid="{CA4FA84F-4683-41E6-AE2D-158C437ADE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F9" i="1"/>
  <c r="H4" i="1"/>
  <c r="H2" i="1"/>
</calcChain>
</file>

<file path=xl/sharedStrings.xml><?xml version="1.0" encoding="utf-8"?>
<sst xmlns="http://schemas.openxmlformats.org/spreadsheetml/2006/main" count="49" uniqueCount="32">
  <si>
    <t>Sr No.</t>
  </si>
  <si>
    <t>Name</t>
  </si>
  <si>
    <t>Source</t>
  </si>
  <si>
    <t>Type</t>
  </si>
  <si>
    <t>Verified</t>
  </si>
  <si>
    <t>BraTS2024</t>
  </si>
  <si>
    <t>Glioma</t>
  </si>
  <si>
    <t>Kaggle</t>
  </si>
  <si>
    <t>No</t>
  </si>
  <si>
    <t>Yes</t>
  </si>
  <si>
    <t>Size (GB)</t>
  </si>
  <si>
    <t>BRATS PED 2024</t>
  </si>
  <si>
    <t>BRISC: Annotated Dataset for Brain Tumor Segmentation and Classification</t>
  </si>
  <si>
    <t>Mixed</t>
  </si>
  <si>
    <t>Format</t>
  </si>
  <si>
    <t>Nature/Kaggle</t>
  </si>
  <si>
    <t>Synapse</t>
  </si>
  <si>
    <t>Meningioma</t>
  </si>
  <si>
    <t>BraTS 2024-MEN-RT</t>
  </si>
  <si>
    <t>BraTS2024-GLI</t>
  </si>
  <si>
    <t>nii</t>
  </si>
  <si>
    <t>jpg</t>
  </si>
  <si>
    <t>Pediatric</t>
  </si>
  <si>
    <t>Pediatric - Glioma</t>
  </si>
  <si>
    <t>Cancer Imaging Archieve</t>
  </si>
  <si>
    <t>Date</t>
  </si>
  <si>
    <t>Year</t>
  </si>
  <si>
    <t>Downloaded</t>
  </si>
  <si>
    <r>
      <t>BraTS-PEDs</t>
    </r>
    <r>
      <rPr>
        <sz val="11"/>
        <color rgb="FF444444"/>
        <rFont val="Open Sans"/>
      </rPr>
      <t> </t>
    </r>
  </si>
  <si>
    <t>Total Cases:</t>
  </si>
  <si>
    <t>Cases (est.)</t>
  </si>
  <si>
    <t>Total Size: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</si>
</sst>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444444"/>
      <name val="Open Sans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17" fontId="0" fillId="0" borderId="1" xfId="0" applyNumberFormat="1" applyFont="1" applyBorder="1" applyAlignment="1">
      <alignment horizontal="left"/>
    </xf>
    <xf numFmtId="0" fontId="0" fillId="0" borderId="1" xfId="0" applyFont="1" applyBorder="1" applyAlignment="1">
      <alignment horizontal="right"/>
    </xf>
    <xf numFmtId="0" fontId="2" fillId="0" borderId="1" xfId="1" applyFont="1" applyBorder="1" applyAlignment="1">
      <alignment horizontal="left"/>
    </xf>
    <xf numFmtId="0" fontId="0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wrapText="1"/>
    </xf>
    <xf numFmtId="17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right" vertical="center"/>
    </xf>
    <xf numFmtId="0" fontId="2" fillId="0" borderId="1" xfId="1" applyFont="1" applyBorder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0" fontId="0" fillId="0" borderId="0" xfId="0" applyFont="1" applyAlignment="1">
      <alignment horizontal="left"/>
    </xf>
    <xf numFmtId="0" fontId="0" fillId="0" borderId="0" xfId="0" applyFont="1" applyAlignment="1">
      <alignment horizontal="center"/>
    </xf>
    <xf numFmtId="17" fontId="0" fillId="0" borderId="0" xfId="0" applyNumberFormat="1" applyFont="1" applyAlignment="1">
      <alignment horizontal="left"/>
    </xf>
    <xf numFmtId="0" fontId="0" fillId="0" borderId="0" xfId="0" applyFont="1" applyAlignment="1">
      <alignment horizontal="right"/>
    </xf>
    <xf numFmtId="0" fontId="0" fillId="0" borderId="3" xfId="0" applyFont="1" applyBorder="1" applyAlignment="1">
      <alignment horizontal="left"/>
    </xf>
    <xf numFmtId="0" fontId="0" fillId="0" borderId="3" xfId="0" applyFont="1" applyBorder="1" applyAlignment="1">
      <alignment horizontal="left" vertical="center"/>
    </xf>
    <xf numFmtId="0" fontId="0" fillId="0" borderId="3" xfId="0" applyFont="1" applyBorder="1" applyAlignment="1">
      <alignment horizontal="left" wrapText="1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left"/>
    </xf>
    <xf numFmtId="0" fontId="0" fillId="0" borderId="8" xfId="0" applyFont="1" applyBorder="1" applyAlignment="1">
      <alignment horizontal="left"/>
    </xf>
    <xf numFmtId="0" fontId="0" fillId="0" borderId="8" xfId="0" applyFont="1" applyBorder="1" applyAlignment="1">
      <alignment horizontal="center"/>
    </xf>
    <xf numFmtId="17" fontId="0" fillId="0" borderId="8" xfId="0" applyNumberFormat="1" applyFont="1" applyBorder="1" applyAlignment="1">
      <alignment horizontal="left"/>
    </xf>
    <xf numFmtId="0" fontId="0" fillId="0" borderId="8" xfId="0" applyFont="1" applyBorder="1" applyAlignment="1">
      <alignment horizontal="right"/>
    </xf>
    <xf numFmtId="0" fontId="2" fillId="0" borderId="8" xfId="1" applyFont="1" applyBorder="1" applyAlignment="1">
      <alignment horizontal="left"/>
    </xf>
    <xf numFmtId="0" fontId="0" fillId="0" borderId="8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3" borderId="12" xfId="0" applyFont="1" applyFill="1" applyBorder="1" applyAlignment="1">
      <alignment horizontal="center" vertical="center"/>
    </xf>
    <xf numFmtId="0" fontId="0" fillId="3" borderId="13" xfId="0" applyFont="1" applyFill="1" applyBorder="1"/>
    <xf numFmtId="0" fontId="0" fillId="3" borderId="13" xfId="0" applyFont="1" applyFill="1" applyBorder="1" applyAlignment="1">
      <alignment horizontal="left"/>
    </xf>
    <xf numFmtId="0" fontId="0" fillId="3" borderId="13" xfId="0" applyFont="1" applyFill="1" applyBorder="1" applyAlignment="1">
      <alignment horizontal="center"/>
    </xf>
    <xf numFmtId="0" fontId="0" fillId="3" borderId="12" xfId="0" applyFont="1" applyFill="1" applyBorder="1" applyAlignment="1">
      <alignment horizontal="left"/>
    </xf>
    <xf numFmtId="0" fontId="0" fillId="3" borderId="14" xfId="0" applyFont="1" applyFill="1" applyBorder="1" applyAlignment="1">
      <alignment horizontal="center"/>
    </xf>
    <xf numFmtId="0" fontId="0" fillId="3" borderId="14" xfId="0" applyFont="1" applyFill="1" applyBorder="1" applyAlignment="1">
      <alignment horizontal="right"/>
    </xf>
    <xf numFmtId="0" fontId="0" fillId="3" borderId="13" xfId="0" applyFont="1" applyFill="1" applyBorder="1" applyAlignment="1">
      <alignment horizontal="center" vertical="center"/>
    </xf>
    <xf numFmtId="0" fontId="0" fillId="3" borderId="14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">
    <dxf>
      <font>
        <color auto="1"/>
      </font>
      <fill>
        <patternFill patternType="solid">
          <bgColor theme="0" tint="-0.14996795556505021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 patternType="solid">
          <fgColor rgb="FFFF0000"/>
          <bgColor theme="9" tint="0.59996337778862885"/>
        </patternFill>
      </fill>
    </dxf>
    <dxf>
      <font>
        <color auto="1"/>
      </font>
      <fill>
        <patternFill patternType="solid">
          <fgColor rgb="FFFF0000"/>
          <bgColor rgb="FFFC7474"/>
        </patternFill>
      </fill>
    </dxf>
  </dxfs>
  <tableStyles count="0" defaultTableStyle="TableStyleMedium2" defaultPivotStyle="PivotStyleLight16"/>
  <colors>
    <mruColors>
      <color rgb="FFFC7474"/>
      <color rgb="FFFF6D6D"/>
      <color rgb="FFF6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ynapse.org/Synapse:syn53708249/files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nature.com/articles/s41597-026-06753-y" TargetMode="External"/><Relationship Id="rId1" Type="http://schemas.openxmlformats.org/officeDocument/2006/relationships/hyperlink" Target="https://www.kaggle.com/datasets/nguyenthanhkhanh/brats2024-small-dataset" TargetMode="External"/><Relationship Id="rId6" Type="http://schemas.openxmlformats.org/officeDocument/2006/relationships/hyperlink" Target="https://www.kaggle.com/datasets/srutorshibasuray/brats-ped-2024" TargetMode="External"/><Relationship Id="rId5" Type="http://schemas.openxmlformats.org/officeDocument/2006/relationships/hyperlink" Target="https://www.cancerimagingarchive.net/collection/brats-peds/" TargetMode="External"/><Relationship Id="rId4" Type="http://schemas.openxmlformats.org/officeDocument/2006/relationships/hyperlink" Target="https://www.synapse.org/Synapse:syn590597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9FB71-4F3C-493C-B844-304317ED4609}">
  <dimension ref="A1:K9"/>
  <sheetViews>
    <sheetView tabSelected="1" workbookViewId="0">
      <selection activeCell="N6" sqref="N6"/>
    </sheetView>
  </sheetViews>
  <sheetFormatPr defaultColWidth="8.75" defaultRowHeight="14.25"/>
  <cols>
    <col min="1" max="1" width="5.5" style="14" bestFit="1" customWidth="1"/>
    <col min="2" max="2" width="18.5" style="12" bestFit="1" customWidth="1"/>
    <col min="3" max="3" width="10.625" style="16" bestFit="1" customWidth="1"/>
    <col min="4" max="4" width="6.25" style="17" customWidth="1"/>
    <col min="5" max="5" width="11.125" style="16" bestFit="1" customWidth="1"/>
    <col min="6" max="6" width="9.625" style="17" bestFit="1" customWidth="1"/>
    <col min="7" max="7" width="8.25" style="16" bestFit="1" customWidth="1"/>
    <col min="8" max="8" width="7.5" style="19" bestFit="1" customWidth="1"/>
    <col min="9" max="9" width="12.25" style="16" customWidth="1"/>
    <col min="10" max="10" width="6.5" style="14" bestFit="1" customWidth="1"/>
    <col min="11" max="11" width="9.875" style="14" bestFit="1" customWidth="1"/>
    <col min="12" max="16384" width="8.75" style="12"/>
  </cols>
  <sheetData>
    <row r="1" spans="1:11" ht="15" thickBot="1">
      <c r="A1" s="33" t="s">
        <v>0</v>
      </c>
      <c r="B1" s="34" t="s">
        <v>1</v>
      </c>
      <c r="C1" s="35" t="s">
        <v>3</v>
      </c>
      <c r="D1" s="35" t="s">
        <v>26</v>
      </c>
      <c r="E1" s="35" t="s">
        <v>25</v>
      </c>
      <c r="F1" s="35" t="s">
        <v>30</v>
      </c>
      <c r="G1" s="35" t="s">
        <v>14</v>
      </c>
      <c r="H1" s="35" t="s">
        <v>10</v>
      </c>
      <c r="I1" s="35" t="s">
        <v>2</v>
      </c>
      <c r="J1" s="36" t="s">
        <v>4</v>
      </c>
      <c r="K1" s="37" t="s">
        <v>27</v>
      </c>
    </row>
    <row r="2" spans="1:11">
      <c r="A2" s="25">
        <v>1</v>
      </c>
      <c r="B2" s="26" t="s">
        <v>19</v>
      </c>
      <c r="C2" s="27" t="s">
        <v>6</v>
      </c>
      <c r="D2" s="28">
        <v>2024</v>
      </c>
      <c r="E2" s="29">
        <v>45627</v>
      </c>
      <c r="F2" s="28">
        <v>900</v>
      </c>
      <c r="G2" s="27" t="s">
        <v>20</v>
      </c>
      <c r="H2" s="30">
        <f>4.93+34.89+4.99</f>
        <v>44.81</v>
      </c>
      <c r="I2" s="31" t="s">
        <v>16</v>
      </c>
      <c r="J2" s="32" t="s">
        <v>9</v>
      </c>
      <c r="K2" s="32" t="s">
        <v>9</v>
      </c>
    </row>
    <row r="3" spans="1:11" s="13" customFormat="1" ht="28.5">
      <c r="A3" s="23">
        <v>2</v>
      </c>
      <c r="B3" s="21" t="s">
        <v>28</v>
      </c>
      <c r="C3" s="8" t="s">
        <v>23</v>
      </c>
      <c r="D3" s="1">
        <v>2024</v>
      </c>
      <c r="E3" s="9">
        <v>45992</v>
      </c>
      <c r="F3" s="1">
        <v>357</v>
      </c>
      <c r="G3" s="7" t="s">
        <v>20</v>
      </c>
      <c r="H3" s="10">
        <v>32.700000000000003</v>
      </c>
      <c r="I3" s="11" t="s">
        <v>24</v>
      </c>
      <c r="J3" s="1" t="s">
        <v>9</v>
      </c>
      <c r="K3" s="1" t="s">
        <v>9</v>
      </c>
    </row>
    <row r="4" spans="1:11">
      <c r="A4" s="23">
        <v>3</v>
      </c>
      <c r="B4" s="20" t="s">
        <v>18</v>
      </c>
      <c r="C4" s="2" t="s">
        <v>17</v>
      </c>
      <c r="D4" s="3">
        <v>2024</v>
      </c>
      <c r="E4" s="4">
        <v>45689</v>
      </c>
      <c r="F4" s="3">
        <v>400</v>
      </c>
      <c r="G4" s="2" t="s">
        <v>20</v>
      </c>
      <c r="H4" s="5">
        <f>12</f>
        <v>12</v>
      </c>
      <c r="I4" s="6" t="s">
        <v>16</v>
      </c>
      <c r="J4" s="1" t="s">
        <v>9</v>
      </c>
      <c r="K4" s="1" t="s">
        <v>9</v>
      </c>
    </row>
    <row r="5" spans="1:11">
      <c r="A5" s="23">
        <v>4</v>
      </c>
      <c r="B5" s="20" t="s">
        <v>11</v>
      </c>
      <c r="C5" s="2" t="s">
        <v>22</v>
      </c>
      <c r="D5" s="3">
        <v>2024</v>
      </c>
      <c r="E5" s="4">
        <v>45778</v>
      </c>
      <c r="F5" s="3">
        <v>264</v>
      </c>
      <c r="G5" s="2" t="s">
        <v>20</v>
      </c>
      <c r="H5" s="5">
        <v>79</v>
      </c>
      <c r="I5" s="6" t="s">
        <v>7</v>
      </c>
      <c r="J5" s="1" t="s">
        <v>8</v>
      </c>
      <c r="K5" s="1" t="s">
        <v>8</v>
      </c>
    </row>
    <row r="6" spans="1:11">
      <c r="A6" s="23">
        <v>5</v>
      </c>
      <c r="B6" s="20" t="s">
        <v>5</v>
      </c>
      <c r="C6" s="2" t="s">
        <v>6</v>
      </c>
      <c r="D6" s="3">
        <v>2024</v>
      </c>
      <c r="E6" s="4">
        <v>45689</v>
      </c>
      <c r="F6" s="3">
        <v>200</v>
      </c>
      <c r="G6" s="2" t="s">
        <v>20</v>
      </c>
      <c r="H6" s="5">
        <v>44.42</v>
      </c>
      <c r="I6" s="6" t="s">
        <v>7</v>
      </c>
      <c r="J6" s="1" t="s">
        <v>8</v>
      </c>
      <c r="K6" s="1" t="s">
        <v>8</v>
      </c>
    </row>
    <row r="7" spans="1:11" ht="72" thickBot="1">
      <c r="A7" s="24">
        <v>6</v>
      </c>
      <c r="B7" s="22" t="s">
        <v>12</v>
      </c>
      <c r="C7" s="2" t="s">
        <v>13</v>
      </c>
      <c r="D7" s="3">
        <v>2026</v>
      </c>
      <c r="E7" s="4">
        <v>46054</v>
      </c>
      <c r="F7" s="3">
        <v>5000</v>
      </c>
      <c r="G7" s="2" t="s">
        <v>21</v>
      </c>
      <c r="H7" s="5">
        <v>0.3</v>
      </c>
      <c r="I7" s="6" t="s">
        <v>15</v>
      </c>
      <c r="J7" s="1" t="s">
        <v>9</v>
      </c>
      <c r="K7" s="1" t="s">
        <v>8</v>
      </c>
    </row>
    <row r="8" spans="1:11" ht="15" thickBot="1">
      <c r="B8" s="15"/>
      <c r="E8" s="18"/>
    </row>
    <row r="9" spans="1:11" ht="15" thickBot="1">
      <c r="A9" s="38"/>
      <c r="B9" s="39"/>
      <c r="C9" s="40"/>
      <c r="D9" s="41"/>
      <c r="E9" s="42" t="s">
        <v>29</v>
      </c>
      <c r="F9" s="43">
        <f>SUM(F2:F8)</f>
        <v>7121</v>
      </c>
      <c r="G9" s="42" t="s">
        <v>31</v>
      </c>
      <c r="H9" s="44">
        <f>SUM(H2:H7)</f>
        <v>213.23000000000002</v>
      </c>
      <c r="I9" s="40"/>
      <c r="J9" s="45"/>
      <c r="K9" s="46"/>
    </row>
  </sheetData>
  <conditionalFormatting sqref="J1:J1048576">
    <cfRule type="containsText" dxfId="3" priority="3" operator="containsText" text="No">
      <formula>NOT(ISERROR(SEARCH("No",J1)))</formula>
    </cfRule>
    <cfRule type="containsText" dxfId="2" priority="4" operator="containsText" text="Yes">
      <formula>NOT(ISERROR(SEARCH("Yes",J1)))</formula>
    </cfRule>
  </conditionalFormatting>
  <conditionalFormatting sqref="K1:K1048576">
    <cfRule type="containsText" dxfId="1" priority="1" operator="containsText" text="Yes">
      <formula>NOT(ISERROR(SEARCH("Yes",K1)))</formula>
    </cfRule>
    <cfRule type="containsText" dxfId="0" priority="2" operator="containsText" text="No">
      <formula>NOT(ISERROR(SEARCH("No",K1)))</formula>
    </cfRule>
  </conditionalFormatting>
  <hyperlinks>
    <hyperlink ref="I6" r:id="rId1" xr:uid="{46BC0DAE-0F6D-41A4-99BC-6758A02A17EE}"/>
    <hyperlink ref="I7" r:id="rId2" display="Nature" xr:uid="{91C97076-EE79-4EF4-B2C6-85638B690791}"/>
    <hyperlink ref="I2" r:id="rId3" xr:uid="{5CED51C3-F933-440A-847E-C7CF128A2A40}"/>
    <hyperlink ref="I4" r:id="rId4" xr:uid="{2500722A-49E2-41A1-84C7-EDFAC0B51076}"/>
    <hyperlink ref="I3" r:id="rId5" xr:uid="{AC168707-FC36-4C90-8112-13D2966960CB}"/>
    <hyperlink ref="I5" r:id="rId6" xr:uid="{4EC0E0D0-5170-4E59-B92C-D6CE0CE56D14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Shardul  Dhekane</dc:creator>
  <cp:lastModifiedBy>Shardul  Dhekane</cp:lastModifiedBy>
  <dcterms:created xsi:type="dcterms:W3CDTF">2026-02-14T05:25:34Z</dcterms:created>
  <dcterms:modified xsi:type="dcterms:W3CDTF">2026-02-25T04:18:15Z</dcterms:modified>
</cp:coreProperties>
</file>